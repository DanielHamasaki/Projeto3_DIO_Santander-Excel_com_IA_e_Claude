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1908\Documents\DIO\Excel\Pasta 4\projeto\"/>
    </mc:Choice>
  </mc:AlternateContent>
  <xr:revisionPtr revIDLastSave="0" documentId="8_{D23C5BF2-CD8C-4C26-B77D-96CFFA40E18A}" xr6:coauthVersionLast="47" xr6:coauthVersionMax="47" xr10:uidLastSave="{00000000-0000-0000-0000-000000000000}"/>
  <bookViews>
    <workbookView xWindow="38280" yWindow="-120" windowWidth="38640" windowHeight="2112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7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3" l="1"/>
  <c r="G23" i="3"/>
</calcChain>
</file>

<file path=xl/sharedStrings.xml><?xml version="1.0" encoding="utf-8"?>
<sst xmlns="http://schemas.openxmlformats.org/spreadsheetml/2006/main" count="2024" uniqueCount="326">
  <si>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</si>
  <si>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</si>
  <si>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</si>
  <si>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</si>
  <si>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</si>
  <si>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</si>
  <si>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</si>
  <si>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</si>
  <si>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</si>
  <si>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</si>
  <si>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</si>
  <si>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</si>
  <si>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</si>
  <si>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</si>
  <si>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</si>
  <si>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</si>
  <si>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</si>
  <si>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</si>
  <si>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</si>
  <si>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</si>
  <si>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</si>
  <si>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</si>
  <si>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</si>
  <si>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</si>
  <si>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</si>
  <si>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</si>
  <si>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</si>
  <si>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</si>
  <si>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</si>
  <si>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</si>
  <si>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</si>
  <si>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</si>
  <si>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</si>
  <si>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</si>
  <si>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</si>
  <si>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</si>
  <si>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</si>
  <si>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</si>
  <si>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</si>
  <si>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</si>
  <si>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</si>
  <si>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</si>
  <si>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</si>
  <si>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</si>
  <si>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</si>
  <si>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</si>
  <si>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</si>
  <si>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</si>
  <si>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</si>
  <si>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</si>
  <si>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</si>
  <si>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</si>
  <si>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</si>
  <si>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</si>
  <si>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</si>
  <si>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</si>
  <si>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</si>
  <si>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</si>
  <si>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</si>
  <si>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</si>
  <si>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</si>
  <si>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</si>
  <si>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</si>
  <si>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</si>
  <si>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</si>
  <si>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</si>
  <si>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</si>
  <si>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</si>
  <si>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</si>
  <si>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</si>
  <si>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</si>
  <si>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</si>
  <si>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</si>
  <si>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</si>
  <si>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</si>
  <si>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</si>
  <si>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</si>
  <si>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</si>
  <si>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</si>
  <si>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</si>
  <si>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</si>
  <si>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</si>
  <si>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</si>
  <si>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</si>
  <si>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</si>
  <si>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</si>
  <si>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</si>
  <si>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</si>
  <si>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</si>
  <si>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</si>
  <si>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</si>
  <si>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</si>
  <si>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</si>
  <si>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</si>
  <si>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</si>
  <si>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</si>
  <si>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</si>
  <si>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</si>
  <si>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</si>
  <si>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</si>
  <si>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</si>
  <si>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</si>
  <si>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</si>
  <si>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</si>
  <si>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</si>
  <si>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</si>
  <si>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</si>
  <si>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</si>
  <si>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</si>
  <si>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</si>
  <si>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</si>
  <si>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</si>
  <si>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</si>
  <si>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</si>
  <si>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</si>
  <si>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</si>
  <si>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</si>
  <si>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</si>
  <si>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</si>
  <si>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</si>
  <si>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</si>
  <si>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</si>
  <si>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</si>
  <si>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</si>
  <si>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</si>
  <si>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</si>
  <si>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</si>
  <si>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</si>
  <si>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</si>
  <si>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</si>
  <si>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</si>
  <si>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</si>
  <si>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</si>
  <si>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</si>
  <si>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</si>
  <si>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</si>
  <si>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</si>
  <si>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</si>
  <si>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</si>
  <si>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</si>
  <si>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</si>
  <si>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</si>
  <si>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</si>
  <si>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</si>
  <si>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</si>
  <si>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</si>
  <si>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</si>
  <si>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</si>
  <si>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</si>
  <si>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</si>
  <si>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</si>
  <si>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</si>
  <si>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</si>
  <si>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</si>
  <si>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</si>
  <si>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</si>
  <si>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</si>
  <si>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</si>
  <si>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</si>
  <si>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</si>
  <si>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</si>
  <si>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</si>
  <si>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</si>
  <si>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</si>
  <si>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</si>
  <si>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</si>
  <si>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</si>
  <si>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</si>
  <si>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</si>
  <si>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</si>
  <si>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</si>
  <si>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</si>
  <si>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</si>
  <si>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</si>
  <si>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</si>
  <si>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</si>
  <si>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</si>
  <si>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</si>
  <si>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</si>
  <si>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</si>
  <si>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</si>
  <si>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</si>
  <si>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</si>
  <si>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</si>
  <si>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</si>
  <si>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</si>
  <si>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</si>
  <si>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</si>
  <si>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</si>
  <si>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</si>
  <si>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</si>
  <si>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</si>
  <si>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</si>
  <si>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</si>
  <si>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</si>
  <si>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</si>
  <si>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</si>
  <si>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</si>
  <si>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</si>
  <si>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</si>
  <si>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</si>
  <si>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</si>
  <si>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</si>
  <si>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</si>
  <si>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</si>
  <si>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</si>
  <si>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</si>
  <si>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</si>
  <si>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</si>
  <si>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</si>
  <si>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</si>
  <si>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</si>
  <si>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</si>
  <si>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</si>
  <si>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</si>
  <si>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</si>
  <si>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</si>
  <si>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</si>
  <si>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</si>
  <si>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</si>
  <si>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</si>
  <si>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</si>
  <si>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</si>
  <si>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</si>
  <si>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</si>
  <si>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</si>
  <si>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</si>
  <si>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</si>
  <si>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</si>
  <si>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</si>
  <si>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</si>
  <si>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</si>
  <si>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</si>
  <si>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</si>
  <si>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</si>
  <si>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</si>
  <si>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</si>
  <si>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</si>
  <si>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</si>
  <si>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</si>
  <si>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</si>
  <si>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</si>
  <si>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</si>
  <si>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</si>
  <si>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</si>
  <si>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</si>
  <si>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</si>
  <si>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</si>
  <si>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</si>
  <si>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</si>
  <si>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</si>
  <si>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</si>
  <si>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</si>
  <si>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</si>
  <si>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</si>
  <si>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</si>
  <si>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</si>
  <si>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</si>
  <si>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</si>
  <si>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</si>
  <si>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</si>
  <si>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</si>
  <si>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</si>
  <si>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</si>
  <si>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</si>
  <si>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</si>
  <si>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</si>
  <si>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</si>
  <si>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</si>
  <si>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</si>
  <si>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</si>
  <si>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</si>
  <si>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</si>
  <si>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</si>
  <si>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</si>
  <si>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</si>
  <si>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</si>
  <si>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</si>
  <si>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</si>
  <si>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</si>
  <si>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</si>
  <si>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</si>
  <si>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</si>
  <si>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</si>
  <si>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</si>
  <si>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</si>
  <si>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</si>
  <si>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</si>
  <si>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</si>
  <si>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</si>
  <si>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</si>
  <si>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</si>
  <si>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</si>
  <si>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</si>
  <si>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</si>
  <si>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</si>
  <si>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</si>
  <si>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</si>
  <si>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</si>
  <si>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</si>
  <si>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</si>
  <si>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</si>
  <si>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</si>
  <si>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</si>
  <si>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</si>
  <si>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</si>
  <si>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</si>
  <si>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</si>
  <si>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</si>
  <si>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</si>
  <si>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</si>
  <si>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</si>
  <si>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</si>
  <si>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</si>
  <si>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</si>
  <si>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</si>
  <si>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Pergunta de negócio 1 - Qual o faturamento TOTAL DE VENDAS de PLANOS ANUAIS (contendo todas assinaturas agregadas)</t>
  </si>
  <si>
    <t>Pergunta de negócio 2 - Qual o faturamento TOTAL DE VENDAS de PLANOS ANUAIS, separado por auto renovação ou não auto renovação</t>
  </si>
  <si>
    <t>É uma pergunta de negócio respondida através de alguma análise de dado específica</t>
  </si>
  <si>
    <t>XBOX GAME PASS SUBSCRIPTIONS SALES</t>
  </si>
  <si>
    <t>Pergunta de negócio 3 - Total de Vendas de Assinaturas do EA Play</t>
  </si>
  <si>
    <t>Soma de EA Play Season Pass</t>
  </si>
  <si>
    <t>Pergunta de negócio 4 - Total de Vendas de Assinaturas do Minecraft Season Pass</t>
  </si>
  <si>
    <t>Soma de Minecraft Season Pass Price</t>
  </si>
  <si>
    <t>Bem vindo,</t>
  </si>
  <si>
    <t>Calculation period: 01/01/2024 - 31/12/2024 | Update date: 15/10/2026 - 13:00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</si>
</sst>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3"/>
      <color rgb="FF22C55E"/>
      <name val="Segoe UI"/>
      <family val="2"/>
    </font>
    <font>
      <sz val="11"/>
      <color theme="0" tint="-0.499984740745262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rgb="FF5BF6A8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0" borderId="2" applyNumberFormat="0" applyFill="0" applyAlignment="0" applyProtection="0"/>
    <xf numFmtId="0" fontId="5" fillId="8" borderId="0" applyNumberFormat="0" applyBorder="0" applyAlignment="0" applyProtection="0"/>
  </cellStyleXfs>
  <cellXfs count="2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5" fillId="8" borderId="0" xfId="4"/>
    <xf numFmtId="0" fontId="5" fillId="8" borderId="0" xfId="4" applyAlignment="1">
      <alignment horizontal="left" indent="1"/>
    </xf>
    <xf numFmtId="0" fontId="4" fillId="0" borderId="3" xfId="3" applyBorder="1"/>
    <xf numFmtId="0" fontId="0" fillId="0" borderId="0" xfId="0" applyNumberFormat="1"/>
    <xf numFmtId="165" fontId="0" fillId="0" borderId="0" xfId="0" applyNumberFormat="1"/>
    <xf numFmtId="0" fontId="6" fillId="0" borderId="3" xfId="3" applyFont="1" applyBorder="1" applyAlignment="1">
      <alignment horizontal="left"/>
    </xf>
    <xf numFmtId="0" fontId="3" fillId="5" borderId="0" xfId="0" applyFont="1" applyFill="1" applyAlignment="1">
      <alignment horizontal="center"/>
    </xf>
    <xf numFmtId="0" fontId="7" fillId="7" borderId="0" xfId="0" applyFont="1" applyFill="1"/>
  </cellXfs>
  <cellStyles count="5">
    <cellStyle name="Moeda" xfId="2" builtinId="4"/>
    <cellStyle name="Neutro" xfId="4" builtinId="28"/>
    <cellStyle name="Normal" xfId="0" builtinId="0"/>
    <cellStyle name="Título 1" xfId="1" builtinId="16"/>
    <cellStyle name="Título 2" xfId="3" builtinId="17"/>
  </cellStyles>
  <dxfs count="16"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AE6B1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01049D8E-3F70-4501-A7FA-A836A443840D}">
      <tableStyleElement type="wholeTable" dxfId="1"/>
      <tableStyleElement type="headerRow" dxfId="0"/>
    </tableStyle>
  </tableStyles>
  <colors>
    <mruColors>
      <color rgb="FF22C55E"/>
      <color rgb="FF5BF6A8"/>
      <color rgb="FF2AE6B1"/>
      <color rgb="FFF7F8FC"/>
      <color rgb="FF9BC848"/>
      <color rgb="FFE8E6E9"/>
      <color rgb="FF000000"/>
      <color rgb="FFE0E0E0"/>
      <color rgb="FFEDEDED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rgb="FF5BF6A8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[projeto.xlsx]C̳álculos!tbl_annual_total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5BF6A8"/>
          </a:solidFill>
          <a:ln>
            <a:noFill/>
          </a:ln>
          <a:effectLst/>
        </c:spPr>
      </c:pivotFmt>
      <c:pivotFmt>
        <c:idx val="8"/>
        <c:spPr>
          <a:solidFill>
            <a:srgbClr val="5BF6A8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3.3426838781624835E-2"/>
          <c:y val="5.2055654991140898E-2"/>
          <c:w val="0.96657316121837522"/>
          <c:h val="0.7150043744531933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C̳álculos!$E$9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6A8-48B8-BC6F-0DAA5D399DFE}"/>
              </c:ext>
            </c:extLst>
          </c:dPt>
          <c:dPt>
            <c:idx val="1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6A8-48B8-BC6F-0DAA5D399D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C̳álculos!$D$10:$D$12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C̳álculos!$E$10:$E$12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A8-48B8-BC6F-0DAA5D399DF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87423392"/>
        <c:axId val="1233438960"/>
      </c:barChart>
      <c:catAx>
        <c:axId val="1487423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3438960"/>
        <c:crosses val="autoZero"/>
        <c:auto val="1"/>
        <c:lblAlgn val="ctr"/>
        <c:lblOffset val="100"/>
        <c:noMultiLvlLbl val="0"/>
      </c:catAx>
      <c:valAx>
        <c:axId val="12334389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487423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8</xdr:row>
      <xdr:rowOff>0</xdr:rowOff>
    </xdr:from>
    <xdr:to>
      <xdr:col>13</xdr:col>
      <xdr:colOff>304800</xdr:colOff>
      <xdr:row>9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304800</xdr:colOff>
      <xdr:row>9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485775</xdr:colOff>
      <xdr:row>0</xdr:row>
      <xdr:rowOff>30956</xdr:rowOff>
    </xdr:from>
    <xdr:to>
      <xdr:col>2</xdr:col>
      <xdr:colOff>471488</xdr:colOff>
      <xdr:row>3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9447242-5349-491D-B764-A90CF6036E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1" t="19800" r="72772" b="20798"/>
        <a:stretch>
          <a:fillRect/>
        </a:stretch>
      </xdr:blipFill>
      <xdr:spPr>
        <a:xfrm>
          <a:off x="2247900" y="30956"/>
          <a:ext cx="595313" cy="607219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6</xdr:row>
      <xdr:rowOff>52387</xdr:rowOff>
    </xdr:from>
    <xdr:to>
      <xdr:col>0</xdr:col>
      <xdr:colOff>1695450</xdr:colOff>
      <xdr:row>13</xdr:row>
      <xdr:rowOff>133349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CFA3C1EF-C3D9-4F11-AF2A-1C39D63D6D1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5" y="1266144"/>
              <a:ext cx="1666875" cy="141446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23813</xdr:colOff>
      <xdr:row>6</xdr:row>
      <xdr:rowOff>0</xdr:rowOff>
    </xdr:from>
    <xdr:to>
      <xdr:col>9</xdr:col>
      <xdr:colOff>233362</xdr:colOff>
      <xdr:row>13</xdr:row>
      <xdr:rowOff>76200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9627778F-B7F0-369A-335A-A736B0A85956}"/>
            </a:ext>
          </a:extLst>
        </xdr:cNvPr>
        <xdr:cNvGrpSpPr/>
      </xdr:nvGrpSpPr>
      <xdr:grpSpPr>
        <a:xfrm>
          <a:off x="2396899" y="1213757"/>
          <a:ext cx="4476749" cy="1409700"/>
          <a:chOff x="2419351" y="785812"/>
          <a:chExt cx="4476749" cy="1409700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11482EF5-D752-B6DD-9512-C6AED9725132}"/>
              </a:ext>
            </a:extLst>
          </xdr:cNvPr>
          <xdr:cNvSpPr/>
        </xdr:nvSpPr>
        <xdr:spPr>
          <a:xfrm>
            <a:off x="2419351" y="785812"/>
            <a:ext cx="4476749" cy="1257301"/>
          </a:xfrm>
          <a:prstGeom prst="roundRect">
            <a:avLst>
              <a:gd name="adj" fmla="val 6831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pt-BR" sz="1400">
              <a:solidFill>
                <a:schemeClr val="tx1"/>
              </a:solidFill>
            </a:endParaRPr>
          </a:p>
        </xdr:txBody>
      </xdr:sp>
      <xdr:sp macro="" textlink="C̳álculos!G23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2B45BC33-65E3-4D4E-AFE6-5E0963F0FD54}"/>
              </a:ext>
            </a:extLst>
          </xdr:cNvPr>
          <xdr:cNvSpPr/>
        </xdr:nvSpPr>
        <xdr:spPr>
          <a:xfrm>
            <a:off x="4043363" y="1162050"/>
            <a:ext cx="2457450" cy="847725"/>
          </a:xfrm>
          <a:prstGeom prst="roundRect">
            <a:avLst>
              <a:gd name="adj" fmla="val 6831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AB22877B-590C-4A49-9DE1-7D8BBB06141F}" type="TxLink">
              <a:rPr lang="en-US" sz="3600" b="0" i="0" u="none" strike="noStrike">
                <a:solidFill>
                  <a:srgbClr val="22C55E"/>
                </a:solidFill>
                <a:latin typeface="Aptos Narrow"/>
              </a:rPr>
              <a:pPr algn="ctr"/>
              <a:t>R$ 600,00</a:t>
            </a:fld>
            <a:endParaRPr lang="pt-BR" sz="3600">
              <a:solidFill>
                <a:srgbClr val="22C55E"/>
              </a:solidFill>
            </a:endParaRPr>
          </a:p>
        </xdr:txBody>
      </xdr:sp>
      <xdr:pic>
        <xdr:nvPicPr>
          <xdr:cNvPr id="11" name="Imagem 10">
            <a:extLst>
              <a:ext uri="{FF2B5EF4-FFF2-40B4-BE49-F238E27FC236}">
                <a16:creationId xmlns:a16="http://schemas.microsoft.com/office/drawing/2014/main" id="{AE6D4F6B-6EAB-4D4F-AF0F-A6BFB90DB30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14638" y="976312"/>
            <a:ext cx="1219200" cy="1219200"/>
          </a:xfrm>
          <a:prstGeom prst="rect">
            <a:avLst/>
          </a:prstGeom>
        </xdr:spPr>
      </xdr:pic>
      <xdr:sp macro="" textlink="">
        <xdr:nvSpPr>
          <xdr:cNvPr id="13" name="Retângulo: Cantos Arredondados 12">
            <a:extLst>
              <a:ext uri="{FF2B5EF4-FFF2-40B4-BE49-F238E27FC236}">
                <a16:creationId xmlns:a16="http://schemas.microsoft.com/office/drawing/2014/main" id="{428C160A-7555-46FA-A6B1-45F3A262EC60}"/>
              </a:ext>
            </a:extLst>
          </xdr:cNvPr>
          <xdr:cNvSpPr/>
        </xdr:nvSpPr>
        <xdr:spPr>
          <a:xfrm>
            <a:off x="2419351" y="785812"/>
            <a:ext cx="4476749" cy="390525"/>
          </a:xfrm>
          <a:prstGeom prst="roundRect">
            <a:avLst>
              <a:gd name="adj" fmla="val 6831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>
                <a:solidFill>
                  <a:schemeClr val="tx1"/>
                </a:solidFill>
              </a:rPr>
              <a:t>TOTAL SUBSCRIPTIONS</a:t>
            </a:r>
            <a:r>
              <a:rPr lang="pt-BR" sz="1400" baseline="0">
                <a:solidFill>
                  <a:schemeClr val="tx1"/>
                </a:solidFill>
              </a:rPr>
              <a:t> EA PLAY SEASON PASS</a:t>
            </a:r>
            <a:endParaRPr lang="pt-BR" sz="1400">
              <a:solidFill>
                <a:schemeClr val="tx1"/>
              </a:solidFill>
            </a:endParaRPr>
          </a:p>
        </xdr:txBody>
      </xdr:sp>
    </xdr:grpSp>
    <xdr:clientData/>
  </xdr:twoCellAnchor>
  <xdr:twoCellAnchor editAs="absolute">
    <xdr:from>
      <xdr:col>10</xdr:col>
      <xdr:colOff>185738</xdr:colOff>
      <xdr:row>6</xdr:row>
      <xdr:rowOff>0</xdr:rowOff>
    </xdr:from>
    <xdr:to>
      <xdr:col>17</xdr:col>
      <xdr:colOff>395287</xdr:colOff>
      <xdr:row>12</xdr:row>
      <xdr:rowOff>114301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61E0DDA7-E8C4-908A-900D-B63F40E51C21}"/>
            </a:ext>
          </a:extLst>
        </xdr:cNvPr>
        <xdr:cNvGrpSpPr/>
      </xdr:nvGrpSpPr>
      <xdr:grpSpPr>
        <a:xfrm>
          <a:off x="7435624" y="1213757"/>
          <a:ext cx="4476749" cy="1257301"/>
          <a:chOff x="7458076" y="785812"/>
          <a:chExt cx="4476749" cy="1257301"/>
        </a:xfrm>
      </xdr:grpSpPr>
      <xdr:sp macro="" textlink="">
        <xdr:nvSpPr>
          <xdr:cNvPr id="17" name="Retângulo: Cantos Arredondados 16">
            <a:extLst>
              <a:ext uri="{FF2B5EF4-FFF2-40B4-BE49-F238E27FC236}">
                <a16:creationId xmlns:a16="http://schemas.microsoft.com/office/drawing/2014/main" id="{87D0C3E3-19B3-A007-E902-280873BF0AF1}"/>
              </a:ext>
            </a:extLst>
          </xdr:cNvPr>
          <xdr:cNvSpPr/>
        </xdr:nvSpPr>
        <xdr:spPr>
          <a:xfrm>
            <a:off x="7458076" y="785812"/>
            <a:ext cx="4476749" cy="1257301"/>
          </a:xfrm>
          <a:prstGeom prst="roundRect">
            <a:avLst>
              <a:gd name="adj" fmla="val 6831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pt-BR" sz="1400">
              <a:solidFill>
                <a:schemeClr val="tx1"/>
              </a:solidFill>
            </a:endParaRPr>
          </a:p>
        </xdr:txBody>
      </xdr:sp>
      <xdr:sp macro="" textlink="C̳álculos!G34">
        <xdr:nvSpPr>
          <xdr:cNvPr id="20" name="Retângulo: Cantos Arredondados 19">
            <a:extLst>
              <a:ext uri="{FF2B5EF4-FFF2-40B4-BE49-F238E27FC236}">
                <a16:creationId xmlns:a16="http://schemas.microsoft.com/office/drawing/2014/main" id="{5AB16D0C-8E05-5F6A-D78E-38FC6E6A87EC}"/>
              </a:ext>
            </a:extLst>
          </xdr:cNvPr>
          <xdr:cNvSpPr/>
        </xdr:nvSpPr>
        <xdr:spPr>
          <a:xfrm>
            <a:off x="9082088" y="1162050"/>
            <a:ext cx="2457450" cy="847725"/>
          </a:xfrm>
          <a:prstGeom prst="roundRect">
            <a:avLst>
              <a:gd name="adj" fmla="val 6831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DB254207-BF5C-4373-B717-0E796BB038FB}" type="TxLink">
              <a:rPr lang="en-US" sz="3600" b="0" i="0" u="none" strike="noStrike">
                <a:solidFill>
                  <a:srgbClr val="22C55E"/>
                </a:solidFill>
                <a:latin typeface="Aptos Narrow"/>
              </a:rPr>
              <a:t>R$ 940,00</a:t>
            </a:fld>
            <a:endParaRPr lang="pt-BR" sz="9600">
              <a:solidFill>
                <a:srgbClr val="22C55E"/>
              </a:solidFill>
            </a:endParaRPr>
          </a:p>
        </xdr:txBody>
      </xdr:sp>
      <xdr:sp macro="" textlink="">
        <xdr:nvSpPr>
          <xdr:cNvPr id="19" name="Retângulo: Cantos Arredondados 18">
            <a:extLst>
              <a:ext uri="{FF2B5EF4-FFF2-40B4-BE49-F238E27FC236}">
                <a16:creationId xmlns:a16="http://schemas.microsoft.com/office/drawing/2014/main" id="{AB113C49-0F1C-2E5A-1999-71CD3893C692}"/>
              </a:ext>
            </a:extLst>
          </xdr:cNvPr>
          <xdr:cNvSpPr/>
        </xdr:nvSpPr>
        <xdr:spPr>
          <a:xfrm>
            <a:off x="7458076" y="785812"/>
            <a:ext cx="4476749" cy="390525"/>
          </a:xfrm>
          <a:prstGeom prst="roundRect">
            <a:avLst>
              <a:gd name="adj" fmla="val 6831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>
                <a:solidFill>
                  <a:schemeClr val="tx1"/>
                </a:solidFill>
              </a:rPr>
              <a:t>TOTAL SUBSCRIPTIONS</a:t>
            </a:r>
            <a:r>
              <a:rPr lang="pt-BR" sz="1400" baseline="0">
                <a:solidFill>
                  <a:schemeClr val="tx1"/>
                </a:solidFill>
              </a:rPr>
              <a:t> MINECRAFT SEASON PASS</a:t>
            </a:r>
            <a:endParaRPr lang="pt-BR" sz="1400">
              <a:solidFill>
                <a:schemeClr val="tx1"/>
              </a:solidFill>
            </a:endParaRPr>
          </a:p>
        </xdr:txBody>
      </xdr:sp>
      <xdr:grpSp>
        <xdr:nvGrpSpPr>
          <xdr:cNvPr id="22" name="Agrupar 21">
            <a:extLst>
              <a:ext uri="{FF2B5EF4-FFF2-40B4-BE49-F238E27FC236}">
                <a16:creationId xmlns:a16="http://schemas.microsoft.com/office/drawing/2014/main" id="{50672183-6504-450E-B5B7-23E35EA0CFBF}"/>
              </a:ext>
            </a:extLst>
          </xdr:cNvPr>
          <xdr:cNvGrpSpPr/>
        </xdr:nvGrpSpPr>
        <xdr:grpSpPr>
          <a:xfrm>
            <a:off x="7639051" y="1266825"/>
            <a:ext cx="1276350" cy="638175"/>
            <a:chOff x="3495675" y="5400674"/>
            <a:chExt cx="1549476" cy="752476"/>
          </a:xfrm>
        </xdr:grpSpPr>
        <xdr:pic>
          <xdr:nvPicPr>
            <xdr:cNvPr id="23" name="Imagem 22">
              <a:extLst>
                <a:ext uri="{FF2B5EF4-FFF2-40B4-BE49-F238E27FC236}">
                  <a16:creationId xmlns:a16="http://schemas.microsoft.com/office/drawing/2014/main" id="{8257AEF0-ED53-75A6-8C83-CB992891391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4" name="Gráfico 23">
              <a:extLst>
                <a:ext uri="{FF2B5EF4-FFF2-40B4-BE49-F238E27FC236}">
                  <a16:creationId xmlns:a16="http://schemas.microsoft.com/office/drawing/2014/main" id="{A40106A8-735D-C65A-3392-EA618F27EDE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1</xdr:col>
      <xdr:colOff>485775</xdr:colOff>
      <xdr:row>14</xdr:row>
      <xdr:rowOff>80963</xdr:rowOff>
    </xdr:from>
    <xdr:to>
      <xdr:col>17</xdr:col>
      <xdr:colOff>542925</xdr:colOff>
      <xdr:row>29</xdr:row>
      <xdr:rowOff>51342</xdr:rowOff>
    </xdr:to>
    <xdr:grpSp>
      <xdr:nvGrpSpPr>
        <xdr:cNvPr id="33" name="Agrupar 32">
          <a:extLst>
            <a:ext uri="{FF2B5EF4-FFF2-40B4-BE49-F238E27FC236}">
              <a16:creationId xmlns:a16="http://schemas.microsoft.com/office/drawing/2014/main" id="{D33F74A0-F4F4-8E91-F818-BA41E4763BD4}"/>
            </a:ext>
          </a:extLst>
        </xdr:cNvPr>
        <xdr:cNvGrpSpPr/>
      </xdr:nvGrpSpPr>
      <xdr:grpSpPr>
        <a:xfrm>
          <a:off x="2249261" y="2818720"/>
          <a:ext cx="9810750" cy="2827879"/>
          <a:chOff x="2247900" y="2390775"/>
          <a:chExt cx="9810750" cy="2827879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19BD5A89-595C-5145-B84E-BC1964758DBC}"/>
              </a:ext>
            </a:extLst>
          </xdr:cNvPr>
          <xdr:cNvSpPr/>
        </xdr:nvSpPr>
        <xdr:spPr>
          <a:xfrm>
            <a:off x="2247900" y="2390776"/>
            <a:ext cx="9810750" cy="2438399"/>
          </a:xfrm>
          <a:prstGeom prst="roundRect">
            <a:avLst>
              <a:gd name="adj" fmla="val 1762"/>
            </a:avLst>
          </a:prstGeom>
          <a:solidFill>
            <a:srgbClr val="F7F8F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685442FF-7BEF-42C0-B710-37DDFC464F60}"/>
              </a:ext>
            </a:extLst>
          </xdr:cNvPr>
          <xdr:cNvGraphicFramePr>
            <a:graphicFrameLocks/>
          </xdr:cNvGraphicFramePr>
        </xdr:nvGraphicFramePr>
        <xdr:xfrm>
          <a:off x="2676525" y="2776537"/>
          <a:ext cx="8952776" cy="244211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29" name="Retângulo: Cantos Arredondados 28">
            <a:extLst>
              <a:ext uri="{FF2B5EF4-FFF2-40B4-BE49-F238E27FC236}">
                <a16:creationId xmlns:a16="http://schemas.microsoft.com/office/drawing/2014/main" id="{ED895296-1003-4ECA-A074-4AFA8BB67E9B}"/>
              </a:ext>
            </a:extLst>
          </xdr:cNvPr>
          <xdr:cNvSpPr/>
        </xdr:nvSpPr>
        <xdr:spPr>
          <a:xfrm>
            <a:off x="2247900" y="2390775"/>
            <a:ext cx="9810750" cy="390525"/>
          </a:xfrm>
          <a:prstGeom prst="roundRect">
            <a:avLst>
              <a:gd name="adj" fmla="val 6831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>
                <a:solidFill>
                  <a:schemeClr val="tx1"/>
                </a:solidFill>
              </a:rPr>
              <a:t>TOTAL SUBSCRIPTIONS</a:t>
            </a:r>
            <a:r>
              <a:rPr lang="pt-BR" sz="1400" baseline="0">
                <a:solidFill>
                  <a:schemeClr val="tx1"/>
                </a:solidFill>
              </a:rPr>
              <a:t> XBOX GAME PASS</a:t>
            </a:r>
          </a:p>
        </xdr:txBody>
      </xdr:sp>
    </xdr:grpSp>
    <xdr:clientData/>
  </xdr:twoCellAnchor>
  <xdr:twoCellAnchor editAs="absolute">
    <xdr:from>
      <xdr:col>0</xdr:col>
      <xdr:colOff>447675</xdr:colOff>
      <xdr:row>1</xdr:row>
      <xdr:rowOff>0</xdr:rowOff>
    </xdr:from>
    <xdr:to>
      <xdr:col>0</xdr:col>
      <xdr:colOff>1143000</xdr:colOff>
      <xdr:row>4</xdr:row>
      <xdr:rowOff>57150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4233190D-1693-4D4A-B7D8-B547729F96D2}"/>
            </a:ext>
          </a:extLst>
        </xdr:cNvPr>
        <xdr:cNvSpPr/>
      </xdr:nvSpPr>
      <xdr:spPr>
        <a:xfrm>
          <a:off x="447675" y="190500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Hamasaki" refreshedDate="46310.459611689817" createdVersion="8" refreshedVersion="8" minRefreshableVersion="3" recordCount="295" xr:uid="{1350B3F0-8132-4DBD-B2B1-B84ACBF87EC2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206405091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DDE6A2-D985-45CC-A750-89AEE689F9BB}" name="Tabela dinâmica3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D30:E3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3EC20F-0A70-46B7-B6B9-92A153656986}" name="tbl_easeasonpass_total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D19:E2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3A5725-6C48-4CE5-986B-341105C44D53}" name="tbl_annual_total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D9:E1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3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D70E5131-8CEE-41D3-A3BC-8BD976F3FF68}" sourceName="Subscription Type">
  <pivotTables>
    <pivotTable tabId="3" name="tbl_annual_total"/>
    <pivotTable tabId="3" name="tbl_easeasonpass_total"/>
    <pivotTable tabId="3" name="Tabela dinâmica3"/>
  </pivotTables>
  <data>
    <tabular pivotCacheId="2064050913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593D95E5-C86D-4F4C-A81C-274BB58D64F1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8" sqref="B8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sqref="A1:M294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D2:H34"/>
  <sheetViews>
    <sheetView showGridLines="0" workbookViewId="0">
      <selection activeCell="G23" sqref="G23"/>
    </sheetView>
  </sheetViews>
  <sheetFormatPr defaultRowHeight="15" x14ac:dyDescent="0.25"/>
  <cols>
    <col min="4" max="4" width="18.42578125" bestFit="1" customWidth="1"/>
    <col min="5" max="5" width="35.140625" bestFit="1" customWidth="1"/>
    <col min="6" max="6" width="1.7109375" bestFit="1" customWidth="1"/>
    <col min="7" max="7" width="10.7109375" bestFit="1" customWidth="1"/>
    <col min="8" max="8" width="19.140625" bestFit="1" customWidth="1"/>
    <col min="9" max="9" width="27.7109375" bestFit="1" customWidth="1"/>
    <col min="10" max="10" width="5.42578125" customWidth="1"/>
    <col min="11" max="11" width="21.140625" bestFit="1" customWidth="1"/>
    <col min="12" max="13" width="35.140625" bestFit="1" customWidth="1"/>
    <col min="14" max="17" width="9.7109375" bestFit="1" customWidth="1"/>
    <col min="18" max="18" width="15.5703125" bestFit="1" customWidth="1"/>
    <col min="19" max="19" width="12.140625" bestFit="1" customWidth="1"/>
  </cols>
  <sheetData>
    <row r="2" spans="4:8" x14ac:dyDescent="0.25">
      <c r="D2" s="16" t="s">
        <v>318</v>
      </c>
      <c r="E2" s="15"/>
      <c r="F2" s="15"/>
      <c r="G2" s="15"/>
      <c r="H2" s="15"/>
    </row>
    <row r="4" spans="4:8" x14ac:dyDescent="0.25">
      <c r="D4" t="s">
        <v>316</v>
      </c>
    </row>
    <row r="5" spans="4:8" x14ac:dyDescent="0.25">
      <c r="D5" t="s">
        <v>317</v>
      </c>
    </row>
    <row r="7" spans="4:8" x14ac:dyDescent="0.25">
      <c r="D7" s="12" t="s">
        <v>16</v>
      </c>
      <c r="E7" t="s">
        <v>24</v>
      </c>
    </row>
    <row r="9" spans="4:8" x14ac:dyDescent="0.25">
      <c r="D9" s="12" t="s">
        <v>313</v>
      </c>
      <c r="E9" t="s">
        <v>315</v>
      </c>
    </row>
    <row r="10" spans="4:8" x14ac:dyDescent="0.25">
      <c r="D10" s="13" t="s">
        <v>23</v>
      </c>
      <c r="E10" s="14">
        <v>217</v>
      </c>
    </row>
    <row r="11" spans="4:8" x14ac:dyDescent="0.25">
      <c r="D11" s="13" t="s">
        <v>19</v>
      </c>
      <c r="E11" s="14">
        <v>1537</v>
      </c>
    </row>
    <row r="12" spans="4:8" x14ac:dyDescent="0.25">
      <c r="D12" s="13" t="s">
        <v>314</v>
      </c>
      <c r="E12" s="14">
        <v>1754</v>
      </c>
    </row>
    <row r="15" spans="4:8" x14ac:dyDescent="0.25">
      <c r="D15" t="s">
        <v>320</v>
      </c>
    </row>
    <row r="17" spans="4:7" x14ac:dyDescent="0.25">
      <c r="D17" s="12" t="s">
        <v>16</v>
      </c>
      <c r="E17" t="s">
        <v>24</v>
      </c>
    </row>
    <row r="19" spans="4:7" x14ac:dyDescent="0.25">
      <c r="D19" s="12" t="s">
        <v>313</v>
      </c>
      <c r="E19" t="s">
        <v>321</v>
      </c>
    </row>
    <row r="20" spans="4:7" x14ac:dyDescent="0.25">
      <c r="D20" s="13" t="s">
        <v>22</v>
      </c>
      <c r="E20" s="18">
        <v>0</v>
      </c>
    </row>
    <row r="21" spans="4:7" x14ac:dyDescent="0.25">
      <c r="D21" s="13" t="s">
        <v>26</v>
      </c>
      <c r="E21" s="18">
        <v>0</v>
      </c>
    </row>
    <row r="22" spans="4:7" x14ac:dyDescent="0.25">
      <c r="D22" s="13" t="s">
        <v>18</v>
      </c>
      <c r="E22" s="18">
        <v>600</v>
      </c>
    </row>
    <row r="23" spans="4:7" x14ac:dyDescent="0.25">
      <c r="D23" s="13" t="s">
        <v>314</v>
      </c>
      <c r="E23" s="18">
        <v>600</v>
      </c>
      <c r="G23" s="19">
        <f>GETPIVOTDATA("EA Play Season Pass
Price",$D$19)</f>
        <v>600</v>
      </c>
    </row>
    <row r="26" spans="4:7" x14ac:dyDescent="0.25">
      <c r="D26" t="s">
        <v>322</v>
      </c>
    </row>
    <row r="28" spans="4:7" x14ac:dyDescent="0.25">
      <c r="D28" s="12" t="s">
        <v>16</v>
      </c>
      <c r="E28" t="s">
        <v>24</v>
      </c>
    </row>
    <row r="30" spans="4:7" x14ac:dyDescent="0.25">
      <c r="D30" s="12" t="s">
        <v>313</v>
      </c>
      <c r="E30" t="s">
        <v>323</v>
      </c>
    </row>
    <row r="31" spans="4:7" x14ac:dyDescent="0.25">
      <c r="D31" s="13" t="s">
        <v>22</v>
      </c>
      <c r="E31" s="14">
        <v>0</v>
      </c>
    </row>
    <row r="32" spans="4:7" x14ac:dyDescent="0.25">
      <c r="D32" s="13" t="s">
        <v>26</v>
      </c>
      <c r="E32" s="14">
        <v>540</v>
      </c>
    </row>
    <row r="33" spans="4:7" x14ac:dyDescent="0.25">
      <c r="D33" s="13" t="s">
        <v>18</v>
      </c>
      <c r="E33" s="14">
        <v>400</v>
      </c>
    </row>
    <row r="34" spans="4:7" x14ac:dyDescent="0.25">
      <c r="D34" s="13" t="s">
        <v>314</v>
      </c>
      <c r="E34" s="14">
        <v>940</v>
      </c>
      <c r="G34" s="19">
        <f>GETPIVOTDATA("Minecraft Season Pass Price",$D$30)</f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Q137"/>
  <sheetViews>
    <sheetView showGridLines="0" showRowColHeaders="0" tabSelected="1" zoomScale="175" zoomScaleNormal="175" workbookViewId="0">
      <selection activeCell="T30" sqref="T30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26.42578125" style="5" customWidth="1"/>
    <col min="3" max="3" width="9.140625" customWidth="1"/>
  </cols>
  <sheetData>
    <row r="2" spans="1:17" ht="19.5" thickBot="1" x14ac:dyDescent="0.4">
      <c r="D2" s="20" t="s">
        <v>319</v>
      </c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ht="15.75" thickTop="1" x14ac:dyDescent="0.25"/>
    <row r="4" spans="1:17" s="7" customFormat="1" x14ac:dyDescent="0.25">
      <c r="A4" s="5"/>
    </row>
    <row r="5" spans="1:17" s="7" customFormat="1" x14ac:dyDescent="0.25">
      <c r="A5" s="5"/>
      <c r="C5" s="22" t="s">
        <v>325</v>
      </c>
    </row>
    <row r="6" spans="1:17" s="7" customFormat="1" x14ac:dyDescent="0.25">
      <c r="A6" s="21" t="s">
        <v>324</v>
      </c>
    </row>
    <row r="7" spans="1:17" s="7" customFormat="1" x14ac:dyDescent="0.25">
      <c r="A7" s="5"/>
    </row>
    <row r="8" spans="1:17" s="7" customFormat="1" x14ac:dyDescent="0.25">
      <c r="A8" s="5"/>
    </row>
    <row r="9" spans="1:17" s="7" customFormat="1" x14ac:dyDescent="0.25">
      <c r="A9" s="5"/>
    </row>
    <row r="10" spans="1:17" s="7" customFormat="1" x14ac:dyDescent="0.25">
      <c r="A10" s="5"/>
    </row>
    <row r="11" spans="1:17" s="7" customFormat="1" x14ac:dyDescent="0.25">
      <c r="A11" s="5"/>
    </row>
    <row r="12" spans="1:17" s="7" customFormat="1" x14ac:dyDescent="0.25">
      <c r="A12" s="5"/>
    </row>
    <row r="13" spans="1:17" s="7" customFormat="1" x14ac:dyDescent="0.25">
      <c r="A13" s="5"/>
    </row>
    <row r="14" spans="1:17" s="7" customFormat="1" x14ac:dyDescent="0.25">
      <c r="A14" s="5"/>
    </row>
    <row r="15" spans="1:17" s="7" customFormat="1" x14ac:dyDescent="0.25">
      <c r="A15" s="5"/>
    </row>
    <row r="16" spans="1:17" s="7" customFormat="1" x14ac:dyDescent="0.25">
      <c r="A16" s="5"/>
    </row>
    <row r="17" spans="1:1" s="7" customFormat="1" x14ac:dyDescent="0.25">
      <c r="A17" s="5"/>
    </row>
    <row r="18" spans="1:1" s="7" customFormat="1" x14ac:dyDescent="0.25">
      <c r="A18" s="5"/>
    </row>
    <row r="19" spans="1:1" s="7" customFormat="1" x14ac:dyDescent="0.25">
      <c r="A19" s="5"/>
    </row>
    <row r="20" spans="1:1" s="7" customFormat="1" x14ac:dyDescent="0.25">
      <c r="A20" s="5"/>
    </row>
    <row r="21" spans="1:1" s="7" customFormat="1" x14ac:dyDescent="0.25">
      <c r="A21" s="5"/>
    </row>
    <row r="22" spans="1:1" s="7" customFormat="1" x14ac:dyDescent="0.25">
      <c r="A22" s="5"/>
    </row>
    <row r="23" spans="1:1" s="7" customFormat="1" x14ac:dyDescent="0.25">
      <c r="A23" s="5"/>
    </row>
    <row r="24" spans="1:1" s="7" customFormat="1" x14ac:dyDescent="0.25">
      <c r="A24" s="5"/>
    </row>
    <row r="25" spans="1:1" s="7" customFormat="1" x14ac:dyDescent="0.25">
      <c r="A25" s="5"/>
    </row>
    <row r="26" spans="1:1" s="7" customFormat="1" x14ac:dyDescent="0.25">
      <c r="A26" s="5"/>
    </row>
    <row r="27" spans="1:1" s="7" customFormat="1" x14ac:dyDescent="0.25">
      <c r="A27" s="5"/>
    </row>
    <row r="28" spans="1:1" s="7" customFormat="1" x14ac:dyDescent="0.25">
      <c r="A28" s="5"/>
    </row>
    <row r="29" spans="1:1" s="7" customFormat="1" x14ac:dyDescent="0.25">
      <c r="A29" s="5"/>
    </row>
    <row r="30" spans="1:1" s="7" customFormat="1" x14ac:dyDescent="0.25">
      <c r="A30" s="5"/>
    </row>
    <row r="31" spans="1:1" s="7" customFormat="1" x14ac:dyDescent="0.25">
      <c r="A31" s="5"/>
    </row>
    <row r="32" spans="1:1" s="7" customFormat="1" x14ac:dyDescent="0.25">
      <c r="A32" s="5"/>
    </row>
    <row r="33" spans="1:1" s="7" customFormat="1" x14ac:dyDescent="0.25">
      <c r="A33" s="5"/>
    </row>
    <row r="34" spans="1:1" s="7" customFormat="1" x14ac:dyDescent="0.25">
      <c r="A34" s="5"/>
    </row>
    <row r="35" spans="1:1" s="7" customFormat="1" x14ac:dyDescent="0.25">
      <c r="A35" s="5"/>
    </row>
    <row r="36" spans="1:1" s="7" customFormat="1" x14ac:dyDescent="0.25">
      <c r="A36" s="5"/>
    </row>
    <row r="37" spans="1:1" s="7" customFormat="1" x14ac:dyDescent="0.25">
      <c r="A37" s="5"/>
    </row>
    <row r="38" spans="1:1" s="7" customFormat="1" x14ac:dyDescent="0.25">
      <c r="A38" s="5"/>
    </row>
    <row r="39" spans="1:1" s="7" customFormat="1" x14ac:dyDescent="0.25">
      <c r="A39" s="5"/>
    </row>
    <row r="40" spans="1:1" s="7" customFormat="1" x14ac:dyDescent="0.25">
      <c r="A40" s="5"/>
    </row>
    <row r="41" spans="1:1" s="7" customFormat="1" x14ac:dyDescent="0.25">
      <c r="A41" s="5"/>
    </row>
    <row r="42" spans="1:1" s="7" customFormat="1" x14ac:dyDescent="0.25">
      <c r="A42" s="5"/>
    </row>
    <row r="43" spans="1:1" s="7" customFormat="1" x14ac:dyDescent="0.25">
      <c r="A43" s="5"/>
    </row>
    <row r="44" spans="1:1" s="7" customFormat="1" x14ac:dyDescent="0.25">
      <c r="A44" s="5"/>
    </row>
    <row r="45" spans="1:1" s="7" customFormat="1" x14ac:dyDescent="0.25">
      <c r="A45" s="5"/>
    </row>
    <row r="46" spans="1:1" s="7" customFormat="1" x14ac:dyDescent="0.25">
      <c r="A46" s="5"/>
    </row>
    <row r="47" spans="1:1" s="7" customFormat="1" x14ac:dyDescent="0.25">
      <c r="A47" s="5"/>
    </row>
    <row r="48" spans="1:1" s="7" customFormat="1" x14ac:dyDescent="0.25">
      <c r="A48" s="5"/>
    </row>
    <row r="49" spans="1:1" s="7" customFormat="1" x14ac:dyDescent="0.25">
      <c r="A49" s="5"/>
    </row>
    <row r="50" spans="1:1" s="7" customFormat="1" x14ac:dyDescent="0.25">
      <c r="A50" s="5"/>
    </row>
    <row r="51" spans="1:1" s="7" customFormat="1" x14ac:dyDescent="0.25">
      <c r="A51" s="5"/>
    </row>
    <row r="52" spans="1:1" s="7" customFormat="1" x14ac:dyDescent="0.25">
      <c r="A52" s="5"/>
    </row>
    <row r="53" spans="1:1" s="7" customFormat="1" x14ac:dyDescent="0.25">
      <c r="A53" s="5"/>
    </row>
    <row r="54" spans="1:1" s="7" customFormat="1" x14ac:dyDescent="0.25">
      <c r="A54" s="5"/>
    </row>
    <row r="55" spans="1:1" s="7" customFormat="1" x14ac:dyDescent="0.25">
      <c r="A55" s="5"/>
    </row>
    <row r="56" spans="1:1" s="7" customFormat="1" x14ac:dyDescent="0.25">
      <c r="A56" s="5"/>
    </row>
    <row r="57" spans="1:1" s="7" customFormat="1" x14ac:dyDescent="0.25">
      <c r="A57" s="5"/>
    </row>
    <row r="58" spans="1:1" s="7" customFormat="1" x14ac:dyDescent="0.25">
      <c r="A58" s="5"/>
    </row>
    <row r="59" spans="1:1" s="7" customFormat="1" x14ac:dyDescent="0.25">
      <c r="A59" s="5"/>
    </row>
    <row r="60" spans="1:1" s="7" customFormat="1" x14ac:dyDescent="0.25">
      <c r="A60" s="5"/>
    </row>
    <row r="61" spans="1:1" s="7" customFormat="1" x14ac:dyDescent="0.25">
      <c r="A61" s="5"/>
    </row>
    <row r="62" spans="1:1" s="7" customFormat="1" x14ac:dyDescent="0.25">
      <c r="A62" s="5"/>
    </row>
    <row r="63" spans="1:1" s="7" customFormat="1" x14ac:dyDescent="0.25">
      <c r="A63" s="5"/>
    </row>
    <row r="64" spans="1:1" s="7" customFormat="1" x14ac:dyDescent="0.25">
      <c r="A64" s="5"/>
    </row>
    <row r="65" spans="1:1" s="7" customFormat="1" x14ac:dyDescent="0.25">
      <c r="A65" s="5"/>
    </row>
    <row r="66" spans="1:1" s="7" customFormat="1" x14ac:dyDescent="0.25">
      <c r="A66" s="5"/>
    </row>
    <row r="67" spans="1:1" s="7" customFormat="1" x14ac:dyDescent="0.25">
      <c r="A67" s="5"/>
    </row>
    <row r="68" spans="1:1" s="7" customFormat="1" x14ac:dyDescent="0.25">
      <c r="A68" s="5"/>
    </row>
    <row r="69" spans="1:1" s="7" customFormat="1" x14ac:dyDescent="0.25">
      <c r="A69" s="5"/>
    </row>
    <row r="70" spans="1:1" s="7" customFormat="1" x14ac:dyDescent="0.25">
      <c r="A70" s="5"/>
    </row>
    <row r="71" spans="1:1" s="7" customFormat="1" x14ac:dyDescent="0.25">
      <c r="A71" s="5"/>
    </row>
    <row r="72" spans="1:1" s="7" customFormat="1" x14ac:dyDescent="0.25">
      <c r="A72" s="5"/>
    </row>
    <row r="73" spans="1:1" s="7" customFormat="1" x14ac:dyDescent="0.25">
      <c r="A73" s="5"/>
    </row>
    <row r="74" spans="1:1" s="7" customFormat="1" x14ac:dyDescent="0.25">
      <c r="A74" s="5"/>
    </row>
    <row r="75" spans="1:1" s="7" customFormat="1" x14ac:dyDescent="0.25">
      <c r="A75" s="5"/>
    </row>
    <row r="76" spans="1:1" s="7" customFormat="1" x14ac:dyDescent="0.25">
      <c r="A76" s="5"/>
    </row>
    <row r="77" spans="1:1" s="7" customFormat="1" x14ac:dyDescent="0.25">
      <c r="A77" s="5"/>
    </row>
    <row r="78" spans="1:1" s="7" customFormat="1" x14ac:dyDescent="0.25">
      <c r="A78" s="5"/>
    </row>
    <row r="79" spans="1:1" s="7" customFormat="1" x14ac:dyDescent="0.25">
      <c r="A79" s="5"/>
    </row>
    <row r="80" spans="1:1" s="7" customFormat="1" x14ac:dyDescent="0.25">
      <c r="A80" s="5"/>
    </row>
    <row r="81" spans="1:1" s="7" customFormat="1" x14ac:dyDescent="0.25">
      <c r="A81" s="5"/>
    </row>
    <row r="82" spans="1:1" s="7" customFormat="1" x14ac:dyDescent="0.25">
      <c r="A82" s="5"/>
    </row>
    <row r="83" spans="1:1" s="7" customFormat="1" x14ac:dyDescent="0.25">
      <c r="A83" s="5"/>
    </row>
    <row r="84" spans="1:1" s="7" customFormat="1" x14ac:dyDescent="0.25">
      <c r="A84" s="5"/>
    </row>
    <row r="85" spans="1:1" s="7" customFormat="1" x14ac:dyDescent="0.25">
      <c r="A85" s="5"/>
    </row>
    <row r="86" spans="1:1" s="7" customFormat="1" x14ac:dyDescent="0.25">
      <c r="A86" s="5"/>
    </row>
    <row r="87" spans="1:1" s="7" customFormat="1" x14ac:dyDescent="0.25">
      <c r="A87" s="5"/>
    </row>
    <row r="88" spans="1:1" s="7" customFormat="1" x14ac:dyDescent="0.25">
      <c r="A88" s="5"/>
    </row>
    <row r="89" spans="1:1" s="7" customFormat="1" x14ac:dyDescent="0.25">
      <c r="A89" s="5"/>
    </row>
    <row r="90" spans="1:1" s="7" customFormat="1" x14ac:dyDescent="0.25">
      <c r="A90" s="5"/>
    </row>
    <row r="91" spans="1:1" s="7" customFormat="1" x14ac:dyDescent="0.25">
      <c r="A91" s="5"/>
    </row>
    <row r="92" spans="1:1" s="7" customFormat="1" x14ac:dyDescent="0.25">
      <c r="A92" s="5"/>
    </row>
    <row r="93" spans="1:1" s="7" customFormat="1" x14ac:dyDescent="0.25">
      <c r="A93" s="5"/>
    </row>
    <row r="94" spans="1:1" s="7" customFormat="1" x14ac:dyDescent="0.25">
      <c r="A94" s="5"/>
    </row>
    <row r="95" spans="1:1" s="7" customFormat="1" x14ac:dyDescent="0.25">
      <c r="A95" s="5"/>
    </row>
    <row r="96" spans="1:1" s="7" customFormat="1" x14ac:dyDescent="0.25">
      <c r="A96" s="5"/>
    </row>
    <row r="97" spans="1:1" s="7" customFormat="1" x14ac:dyDescent="0.25">
      <c r="A97" s="5"/>
    </row>
    <row r="98" spans="1:1" s="7" customFormat="1" x14ac:dyDescent="0.25">
      <c r="A98" s="5"/>
    </row>
    <row r="99" spans="1:1" s="7" customFormat="1" x14ac:dyDescent="0.25">
      <c r="A99" s="5"/>
    </row>
    <row r="100" spans="1:1" s="7" customFormat="1" x14ac:dyDescent="0.25">
      <c r="A100" s="5"/>
    </row>
    <row r="101" spans="1:1" s="7" customFormat="1" x14ac:dyDescent="0.25">
      <c r="A101" s="5"/>
    </row>
    <row r="102" spans="1:1" s="7" customFormat="1" x14ac:dyDescent="0.25">
      <c r="A102" s="5"/>
    </row>
    <row r="103" spans="1:1" s="7" customFormat="1" x14ac:dyDescent="0.25">
      <c r="A103" s="5"/>
    </row>
    <row r="104" spans="1:1" s="7" customFormat="1" x14ac:dyDescent="0.25">
      <c r="A104" s="5"/>
    </row>
    <row r="105" spans="1:1" s="7" customFormat="1" x14ac:dyDescent="0.25">
      <c r="A105" s="5"/>
    </row>
    <row r="106" spans="1:1" s="7" customFormat="1" x14ac:dyDescent="0.25">
      <c r="A106" s="5"/>
    </row>
    <row r="107" spans="1:1" s="7" customFormat="1" x14ac:dyDescent="0.25">
      <c r="A107" s="5"/>
    </row>
    <row r="108" spans="1:1" s="7" customFormat="1" x14ac:dyDescent="0.25">
      <c r="A108" s="5"/>
    </row>
    <row r="109" spans="1:1" s="7" customFormat="1" x14ac:dyDescent="0.25">
      <c r="A109" s="5"/>
    </row>
    <row r="110" spans="1:1" s="7" customFormat="1" x14ac:dyDescent="0.25">
      <c r="A110" s="5"/>
    </row>
    <row r="111" spans="1:1" s="7" customFormat="1" x14ac:dyDescent="0.25">
      <c r="A111" s="5"/>
    </row>
    <row r="112" spans="1:1" s="7" customFormat="1" x14ac:dyDescent="0.25">
      <c r="A112" s="5"/>
    </row>
    <row r="113" spans="1:1" s="7" customFormat="1" x14ac:dyDescent="0.25">
      <c r="A113" s="5"/>
    </row>
    <row r="114" spans="1:1" s="7" customFormat="1" x14ac:dyDescent="0.25">
      <c r="A114" s="5"/>
    </row>
    <row r="115" spans="1:1" s="7" customFormat="1" x14ac:dyDescent="0.25">
      <c r="A115" s="5"/>
    </row>
    <row r="116" spans="1:1" s="7" customFormat="1" x14ac:dyDescent="0.25">
      <c r="A116" s="5"/>
    </row>
    <row r="117" spans="1:1" s="7" customFormat="1" x14ac:dyDescent="0.25">
      <c r="A117" s="5"/>
    </row>
    <row r="118" spans="1:1" s="7" customFormat="1" x14ac:dyDescent="0.25">
      <c r="A118" s="5"/>
    </row>
    <row r="119" spans="1:1" s="7" customFormat="1" x14ac:dyDescent="0.25">
      <c r="A119" s="5"/>
    </row>
    <row r="120" spans="1:1" s="7" customFormat="1" x14ac:dyDescent="0.25">
      <c r="A120" s="5"/>
    </row>
    <row r="121" spans="1:1" s="7" customFormat="1" x14ac:dyDescent="0.25">
      <c r="A121" s="5"/>
    </row>
    <row r="122" spans="1:1" s="7" customFormat="1" x14ac:dyDescent="0.25">
      <c r="A122" s="5"/>
    </row>
    <row r="123" spans="1:1" s="7" customFormat="1" x14ac:dyDescent="0.25">
      <c r="A123" s="5"/>
    </row>
    <row r="124" spans="1:1" s="7" customFormat="1" x14ac:dyDescent="0.25">
      <c r="A124" s="5"/>
    </row>
    <row r="125" spans="1:1" s="7" customFormat="1" x14ac:dyDescent="0.25">
      <c r="A125" s="5"/>
    </row>
    <row r="126" spans="1:1" s="7" customFormat="1" x14ac:dyDescent="0.25">
      <c r="A126" s="5"/>
    </row>
    <row r="127" spans="1:1" s="7" customFormat="1" x14ac:dyDescent="0.25">
      <c r="A127" s="5"/>
    </row>
    <row r="128" spans="1:1" s="7" customFormat="1" x14ac:dyDescent="0.25">
      <c r="A128" s="5"/>
    </row>
    <row r="129" spans="1:1" s="7" customFormat="1" x14ac:dyDescent="0.25">
      <c r="A129" s="5"/>
    </row>
    <row r="130" spans="1:1" s="7" customFormat="1" x14ac:dyDescent="0.25">
      <c r="A130" s="5"/>
    </row>
    <row r="131" spans="1:1" s="7" customFormat="1" x14ac:dyDescent="0.25">
      <c r="A131" s="5"/>
    </row>
    <row r="132" spans="1:1" s="7" customFormat="1" x14ac:dyDescent="0.25">
      <c r="A132" s="5"/>
    </row>
    <row r="133" spans="1:1" s="7" customFormat="1" x14ac:dyDescent="0.25">
      <c r="A133" s="5"/>
    </row>
    <row r="134" spans="1:1" s="7" customFormat="1" x14ac:dyDescent="0.25">
      <c r="A134" s="5"/>
    </row>
    <row r="135" spans="1:1" s="7" customFormat="1" x14ac:dyDescent="0.25">
      <c r="A135" s="5"/>
    </row>
    <row r="136" spans="1:1" s="7" customFormat="1" x14ac:dyDescent="0.25">
      <c r="A136" s="5"/>
    </row>
    <row r="137" spans="1:1" s="7" customFormat="1" x14ac:dyDescent="0.25">
      <c r="A137" s="5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Daniel Hamasaki</cp:lastModifiedBy>
  <dcterms:created xsi:type="dcterms:W3CDTF">2024-12-19T13:13:10Z</dcterms:created>
  <dcterms:modified xsi:type="dcterms:W3CDTF">2026-10-15T16:17:12Z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